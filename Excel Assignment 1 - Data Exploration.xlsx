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960" windowHeight="5535"/>
  </bookViews>
  <sheets>
    <sheet name="ANSWER SHEET" sheetId="2" r:id="rId1"/>
  </sheets>
  <calcPr calcId="152511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R7" i="2" l="1"/>
  <c r="R6" i="2"/>
  <c r="R22" i="2"/>
  <c r="R24" i="2"/>
  <c r="R27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4" i="2"/>
  <c r="R19" i="2"/>
  <c r="R17" i="2"/>
  <c r="H10" i="2"/>
  <c r="H5" i="2"/>
  <c r="H6" i="2"/>
  <c r="H7" i="2"/>
  <c r="H8" i="2"/>
  <c r="H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4" i="2"/>
  <c r="S13" i="2" s="1"/>
  <c r="R11" i="2"/>
  <c r="R10" i="2"/>
  <c r="R8" i="2"/>
  <c r="S14" i="2" l="1"/>
</calcChain>
</file>

<file path=xl/sharedStrings.xml><?xml version="1.0" encoding="utf-8"?>
<sst xmlns="http://schemas.openxmlformats.org/spreadsheetml/2006/main" count="177" uniqueCount="126">
  <si>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</si>
  <si>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</si>
  <si>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</si>
  <si>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</si>
  <si>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</si>
  <si>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</si>
  <si>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</si>
  <si>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</si>
  <si>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</si>
  <si>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</si>
  <si>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</si>
  <si>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</si>
  <si>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</si>
  <si>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</si>
  <si>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</si>
  <si>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</si>
  <si>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</si>
  <si>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</si>
  <si>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</si>
  <si>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</si>
  <si>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</si>
  <si>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</si>
  <si>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</si>
  <si>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</si>
  <si>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</si>
  <si>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</si>
  <si>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</si>
  <si>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</si>
  <si>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</si>
  <si>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</si>
  <si>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</si>
  <si>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</si>
  <si>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</si>
  <si>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</si>
  <si>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</si>
  <si>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</si>
  <si>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</si>
  <si>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</si>
  <si>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</si>
  <si>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</si>
  <si>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</si>
  <si>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</si>
  <si>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</si>
  <si>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</si>
  <si>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</si>
  <si>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</si>
  <si>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</si>
  <si>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</si>
  <si>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</si>
  <si>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</si>
  <si>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</si>
  <si>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</si>
  <si>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</si>
  <si>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</si>
  <si>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</si>
  <si>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</si>
  <si>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</si>
  <si>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</si>
  <si>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</si>
  <si>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</si>
  <si>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</si>
  <si>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</si>
  <si>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</si>
  <si>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</si>
  <si>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</si>
  <si>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</si>
  <si>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</si>
  <si>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</si>
  <si>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</si>
  <si>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</si>
  <si>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</si>
  <si>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</si>
  <si>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</si>
  <si>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</si>
  <si>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</si>
  <si>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</si>
  <si>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</si>
  <si>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</si>
  <si>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</si>
  <si>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</si>
  <si>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</si>
  <si>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</si>
  <si>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</si>
  <si>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</si>
  <si>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</si>
  <si>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</si>
  <si>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</si>
  <si>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</si>
  <si>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</si>
  <si>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</si>
  <si>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</si>
  <si>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</si>
  <si>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</si>
  <si>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</t>
  </si>
  <si>
    <t>Q.NO</t>
  </si>
  <si>
    <t>QUESTION</t>
  </si>
  <si>
    <t xml:space="preserve">ASSIGNMENT 1 DATA EXPLORATION </t>
  </si>
  <si>
    <t>a) What is the total price of all products in the dataset?</t>
  </si>
  <si>
    <t>a) Determine the minimum price among all products</t>
  </si>
  <si>
    <t>b) How many products are there in the dataset?</t>
  </si>
  <si>
    <t>c) Calculate the average price of the products.</t>
  </si>
  <si>
    <t xml:space="preserve"> b) Find the maximum price among all products</t>
  </si>
  <si>
    <t xml:space="preserve">Using an IF function, create a new column named Price Range </t>
  </si>
  <si>
    <t>to categorize products with a price greater than or equal to</t>
  </si>
  <si>
    <t xml:space="preserve"> $500 as 'High Price' and others as 'Standard Price'</t>
  </si>
  <si>
    <t>Electronics' category using the SUMIF function</t>
  </si>
  <si>
    <t xml:space="preserve">a) Calculate the total price for products in the </t>
  </si>
  <si>
    <t xml:space="preserve">b)Determine the count of products with a price </t>
  </si>
  <si>
    <t>less than $100 using the COUNTIF function</t>
  </si>
  <si>
    <t>2 characters of each 'Product ID' using the LEFT function.</t>
  </si>
  <si>
    <t>a) Create a new column named Day with the first</t>
  </si>
  <si>
    <t>b) Create a new column named Country Code by extracting.</t>
  </si>
  <si>
    <t xml:space="preserve"> the RIGHT function</t>
  </si>
  <si>
    <t xml:space="preserve"> the last 2 characters from the 'Product ID' column using </t>
  </si>
  <si>
    <t>characters from the 'Product ID' column using the MID function</t>
  </si>
  <si>
    <t xml:space="preserve">c) Create a new column named Month by extracting 4th to 6th </t>
  </si>
  <si>
    <t>High Price</t>
  </si>
  <si>
    <t>Standard Price</t>
  </si>
  <si>
    <t>High price</t>
  </si>
  <si>
    <t>&lt;100</t>
  </si>
  <si>
    <t>Day</t>
  </si>
  <si>
    <t>Country code</t>
  </si>
  <si>
    <t>Month</t>
  </si>
  <si>
    <t xml:space="preserve">  price range</t>
  </si>
  <si>
    <t>Q3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</si>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</sst>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i/>
      <sz val="12"/>
      <color theme="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0" fillId="0" borderId="1" xfId="0" applyFont="1" applyBorder="1" applyAlignment="1"/>
    <xf numFmtId="0" fontId="0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 vertical="center"/>
    </xf>
    <xf numFmtId="0" fontId="0" fillId="0" borderId="0" xfId="0" applyFont="1" applyFill="1" applyAlignment="1"/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5" fillId="0" borderId="1" xfId="0" applyFont="1" applyFill="1" applyBorder="1" applyAlignment="1">
      <alignment horizontal="left"/>
    </xf>
    <xf numFmtId="0" fontId="6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/>
    <xf numFmtId="0" fontId="5" fillId="0" borderId="7" xfId="0" applyFont="1" applyBorder="1" applyAlignment="1"/>
    <xf numFmtId="0" fontId="7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S1002"/>
  <sheetViews>
    <sheetView tabSelected="1" topLeftCell="D1" zoomScale="69" zoomScaleNormal="69" workbookViewId="0">
      <selection activeCell="T12" sqref="T12"/>
    </sheetView>
  </sheetViews>
  <sheetFormatPr defaultColWidth="12.5703125" defaultRowHeight="15" customHeight="1" x14ac:dyDescent="0.2"/>
  <cols>
    <col min="2" max="2" width="12.5703125" customWidth="1"/>
    <col min="3" max="3" width="14.140625" customWidth="1"/>
    <col min="4" max="7" width="12.5703125" customWidth="1"/>
    <col min="8" max="8" width="21.140625" bestFit="1" customWidth="1"/>
    <col min="9" max="11" width="14.140625" customWidth="1"/>
    <col min="12" max="12" width="13.85546875" bestFit="1" customWidth="1"/>
    <col min="13" max="14" width="9.140625" customWidth="1"/>
    <col min="17" max="17" width="30.5703125" customWidth="1"/>
    <col min="18" max="18" width="13.85546875" bestFit="1" customWidth="1"/>
  </cols>
  <sheetData>
    <row r="1" spans="2:19" ht="30.75" customHeight="1" x14ac:dyDescent="0.2">
      <c r="B1" s="8" t="s">
        <v>96</v>
      </c>
      <c r="C1" s="8"/>
      <c r="D1" s="8"/>
      <c r="E1" s="8"/>
      <c r="F1" s="8"/>
      <c r="G1" s="8"/>
      <c r="H1" s="8"/>
      <c r="I1" s="8"/>
      <c r="J1" s="8"/>
      <c r="K1" s="8"/>
    </row>
    <row r="2" spans="2:19" ht="15" customHeight="1" x14ac:dyDescent="0.25">
      <c r="B2" s="1"/>
      <c r="C2" s="1"/>
      <c r="D2" s="1"/>
      <c r="E2" s="1"/>
      <c r="F2" s="1"/>
      <c r="G2" s="1"/>
      <c r="H2" s="9" t="s">
        <v>124</v>
      </c>
      <c r="I2" s="10" t="s">
        <v>125</v>
      </c>
      <c r="J2" s="10"/>
      <c r="K2" s="10"/>
    </row>
    <row r="3" spans="2:19" ht="15.75" customHeight="1" x14ac:dyDescent="0.2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2" t="s">
        <v>123</v>
      </c>
      <c r="I3" s="12" t="s">
        <v>120</v>
      </c>
      <c r="J3" s="12" t="s">
        <v>121</v>
      </c>
      <c r="K3" s="12" t="s">
        <v>122</v>
      </c>
      <c r="L3" s="4"/>
      <c r="M3" s="4"/>
      <c r="N3" s="32" t="s">
        <v>96</v>
      </c>
      <c r="O3" s="32"/>
      <c r="P3" s="32"/>
      <c r="Q3" s="32"/>
      <c r="R3" s="32"/>
      <c r="S3" s="32"/>
    </row>
    <row r="4" spans="2:19" ht="15.75" customHeight="1" x14ac:dyDescent="0.2">
      <c r="B4" s="13" t="s">
        <v>6</v>
      </c>
      <c r="C4" s="13" t="s">
        <v>7</v>
      </c>
      <c r="D4" s="13" t="s">
        <v>8</v>
      </c>
      <c r="E4" s="13">
        <v>1000</v>
      </c>
      <c r="F4" s="13">
        <v>30</v>
      </c>
      <c r="G4" s="13" t="s">
        <v>9</v>
      </c>
      <c r="H4" s="13" t="str">
        <f>IF(E4&gt;=500,$L$6,$L$7)</f>
        <v>High Price</v>
      </c>
      <c r="I4" s="13" t="str">
        <f>LEFT(B4,2)</f>
        <v>28</v>
      </c>
      <c r="J4" s="13" t="str">
        <f>RIGHT(B4,2)</f>
        <v>US</v>
      </c>
      <c r="K4" s="13" t="str">
        <f>MID(B4,4,3)</f>
        <v>JAN</v>
      </c>
      <c r="M4" s="4"/>
      <c r="N4" s="33" t="s">
        <v>94</v>
      </c>
      <c r="O4" s="34" t="s">
        <v>95</v>
      </c>
      <c r="P4" s="34"/>
      <c r="Q4" s="34"/>
      <c r="R4" s="34" t="s">
        <v>93</v>
      </c>
      <c r="S4" s="34"/>
    </row>
    <row r="5" spans="2:19" ht="15.75" customHeight="1" x14ac:dyDescent="0.2">
      <c r="B5" s="14" t="s">
        <v>10</v>
      </c>
      <c r="C5" s="14" t="s">
        <v>11</v>
      </c>
      <c r="D5" s="14" t="s">
        <v>12</v>
      </c>
      <c r="E5" s="14">
        <v>80</v>
      </c>
      <c r="F5" s="14">
        <v>15</v>
      </c>
      <c r="G5" s="14" t="s">
        <v>13</v>
      </c>
      <c r="H5" s="15" t="str">
        <f>IF(E5&gt;=500,$L$6,$L$7)</f>
        <v>Standard Price</v>
      </c>
      <c r="I5" s="15" t="str">
        <f t="shared" ref="I5:I37" si="0">LEFT(B5,2)</f>
        <v>15</v>
      </c>
      <c r="J5" s="15" t="str">
        <f t="shared" ref="J5:J37" si="1">RIGHT(B5,2)</f>
        <v>US</v>
      </c>
      <c r="K5" s="15" t="str">
        <f t="shared" ref="K5:K37" si="2">MID(B5,4,3)</f>
        <v>FEB</v>
      </c>
      <c r="M5" s="3"/>
      <c r="N5" s="35"/>
      <c r="O5" s="36"/>
      <c r="P5" s="36"/>
      <c r="Q5" s="36"/>
      <c r="R5" s="36"/>
      <c r="S5" s="37"/>
    </row>
    <row r="6" spans="2:19" ht="15.75" customHeight="1" x14ac:dyDescent="0.2">
      <c r="B6" s="13" t="s">
        <v>14</v>
      </c>
      <c r="C6" s="13" t="s">
        <v>15</v>
      </c>
      <c r="D6" s="13" t="s">
        <v>16</v>
      </c>
      <c r="E6" s="13">
        <v>130</v>
      </c>
      <c r="F6" s="13">
        <v>40</v>
      </c>
      <c r="G6" s="13" t="s">
        <v>17</v>
      </c>
      <c r="H6" s="13" t="str">
        <f>IF(E6&gt;=500,$L$6,$L$7)</f>
        <v>Standard Price</v>
      </c>
      <c r="I6" s="13" t="str">
        <f t="shared" si="0"/>
        <v>03</v>
      </c>
      <c r="J6" s="13" t="str">
        <f t="shared" si="1"/>
        <v>US</v>
      </c>
      <c r="K6" s="13" t="str">
        <f t="shared" si="2"/>
        <v>MAR</v>
      </c>
      <c r="L6" s="5" t="s">
        <v>116</v>
      </c>
      <c r="M6" s="6"/>
      <c r="N6" s="25">
        <v>1</v>
      </c>
      <c r="O6" s="16" t="s">
        <v>97</v>
      </c>
      <c r="P6" s="16"/>
      <c r="Q6" s="16"/>
      <c r="R6" s="43">
        <f>SUM(E4:E37)</f>
        <v>10100</v>
      </c>
      <c r="S6" s="43"/>
    </row>
    <row r="7" spans="2:19" ht="15.75" customHeight="1" x14ac:dyDescent="0.2">
      <c r="B7" s="14" t="s">
        <v>18</v>
      </c>
      <c r="C7" s="14" t="s">
        <v>19</v>
      </c>
      <c r="D7" s="14" t="s">
        <v>20</v>
      </c>
      <c r="E7" s="14">
        <v>900</v>
      </c>
      <c r="F7" s="14">
        <v>25</v>
      </c>
      <c r="G7" s="14" t="s">
        <v>9</v>
      </c>
      <c r="H7" s="15" t="str">
        <f>IF(E7&gt;=500,$L$6,$L$7)</f>
        <v>High Price</v>
      </c>
      <c r="I7" s="15" t="str">
        <f t="shared" si="0"/>
        <v>11</v>
      </c>
      <c r="J7" s="15" t="str">
        <f t="shared" si="1"/>
        <v>US</v>
      </c>
      <c r="K7" s="15" t="str">
        <f t="shared" si="2"/>
        <v>APR</v>
      </c>
      <c r="L7" s="5" t="s">
        <v>117</v>
      </c>
      <c r="M7" s="6"/>
      <c r="N7" s="26"/>
      <c r="O7" s="17" t="s">
        <v>99</v>
      </c>
      <c r="P7" s="17"/>
      <c r="Q7" s="17"/>
      <c r="R7" s="43">
        <f>COUNTA(C4:C37)</f>
        <v>34</v>
      </c>
      <c r="S7" s="43"/>
    </row>
    <row r="8" spans="2:19" ht="15.75" customHeight="1" x14ac:dyDescent="0.2">
      <c r="B8" s="13" t="s">
        <v>21</v>
      </c>
      <c r="C8" s="13" t="s">
        <v>22</v>
      </c>
      <c r="D8" s="13" t="s">
        <v>23</v>
      </c>
      <c r="E8" s="13">
        <v>70</v>
      </c>
      <c r="F8" s="13">
        <v>20</v>
      </c>
      <c r="G8" s="13" t="s">
        <v>24</v>
      </c>
      <c r="H8" s="13" t="str">
        <f>IF(E8&gt;=500,$L$6,$L$7)</f>
        <v>Standard Price</v>
      </c>
      <c r="I8" s="13" t="str">
        <f t="shared" si="0"/>
        <v>22</v>
      </c>
      <c r="J8" s="13" t="str">
        <f t="shared" si="1"/>
        <v>US</v>
      </c>
      <c r="K8" s="13" t="str">
        <f t="shared" si="2"/>
        <v>MAY</v>
      </c>
      <c r="M8" s="6"/>
      <c r="N8" s="27"/>
      <c r="O8" s="17" t="s">
        <v>100</v>
      </c>
      <c r="P8" s="17"/>
      <c r="Q8" s="17"/>
      <c r="R8" s="43">
        <f>AVERAGE(E4:E37)</f>
        <v>297.05882352941177</v>
      </c>
      <c r="S8" s="43"/>
    </row>
    <row r="9" spans="2:19" ht="15.75" customHeight="1" x14ac:dyDescent="0.2">
      <c r="B9" s="14" t="s">
        <v>25</v>
      </c>
      <c r="C9" s="14" t="s">
        <v>26</v>
      </c>
      <c r="D9" s="14" t="s">
        <v>27</v>
      </c>
      <c r="E9" s="14">
        <v>200</v>
      </c>
      <c r="F9" s="14">
        <v>45</v>
      </c>
      <c r="G9" s="14" t="s">
        <v>9</v>
      </c>
      <c r="H9" s="15" t="str">
        <f>IF(E9&gt;=500,$L$6,$L$7)</f>
        <v>Standard Price</v>
      </c>
      <c r="I9" s="15" t="str">
        <f t="shared" si="0"/>
        <v>07</v>
      </c>
      <c r="J9" s="15" t="str">
        <f t="shared" si="1"/>
        <v>UK</v>
      </c>
      <c r="K9" s="15" t="str">
        <f t="shared" si="2"/>
        <v>JUN</v>
      </c>
      <c r="M9" s="6"/>
      <c r="N9" s="38"/>
      <c r="O9" s="39"/>
      <c r="P9" s="39"/>
      <c r="Q9" s="39"/>
      <c r="R9" s="39"/>
      <c r="S9" s="40"/>
    </row>
    <row r="10" spans="2:19" ht="15.75" customHeight="1" x14ac:dyDescent="0.2">
      <c r="B10" s="13" t="s">
        <v>28</v>
      </c>
      <c r="C10" s="13" t="s">
        <v>29</v>
      </c>
      <c r="D10" s="13" t="s">
        <v>30</v>
      </c>
      <c r="E10" s="13">
        <v>30</v>
      </c>
      <c r="F10" s="13">
        <v>5</v>
      </c>
      <c r="G10" s="13" t="s">
        <v>13</v>
      </c>
      <c r="H10" s="13" t="str">
        <f>IF(E10&gt;=500,$L$6,$L$7)</f>
        <v>Standard Price</v>
      </c>
      <c r="I10" s="13" t="str">
        <f t="shared" si="0"/>
        <v>19</v>
      </c>
      <c r="J10" s="13" t="str">
        <f t="shared" si="1"/>
        <v>UK</v>
      </c>
      <c r="K10" s="13" t="str">
        <f t="shared" si="2"/>
        <v>JUL</v>
      </c>
      <c r="L10" s="5" t="s">
        <v>119</v>
      </c>
      <c r="M10" s="4"/>
      <c r="N10" s="25">
        <v>2</v>
      </c>
      <c r="O10" s="18" t="s">
        <v>98</v>
      </c>
      <c r="P10" s="18"/>
      <c r="Q10" s="18"/>
      <c r="R10" s="43">
        <f>MIN(E4:E37)</f>
        <v>30</v>
      </c>
      <c r="S10" s="43"/>
    </row>
    <row r="11" spans="2:19" ht="15.75" customHeight="1" x14ac:dyDescent="0.2">
      <c r="B11" s="14" t="s">
        <v>31</v>
      </c>
      <c r="C11" s="14" t="s">
        <v>32</v>
      </c>
      <c r="D11" s="14" t="s">
        <v>33</v>
      </c>
      <c r="E11" s="14">
        <v>90</v>
      </c>
      <c r="F11" s="14">
        <v>35</v>
      </c>
      <c r="G11" s="14" t="s">
        <v>17</v>
      </c>
      <c r="H11" s="15" t="str">
        <f>IF(E11&gt;=500,$L$6,$L$7)</f>
        <v>Standard Price</v>
      </c>
      <c r="I11" s="15" t="str">
        <f t="shared" si="0"/>
        <v>23</v>
      </c>
      <c r="J11" s="15" t="str">
        <f t="shared" si="1"/>
        <v>UK</v>
      </c>
      <c r="K11" s="15" t="str">
        <f t="shared" si="2"/>
        <v>AUG</v>
      </c>
      <c r="M11" s="3"/>
      <c r="N11" s="27"/>
      <c r="O11" s="18" t="s">
        <v>101</v>
      </c>
      <c r="P11" s="18"/>
      <c r="Q11" s="18"/>
      <c r="R11" s="43">
        <f>MAX(E4:E37)</f>
        <v>1000</v>
      </c>
      <c r="S11" s="43"/>
    </row>
    <row r="12" spans="2:19" ht="15.75" customHeight="1" x14ac:dyDescent="0.2">
      <c r="B12" s="13" t="s">
        <v>34</v>
      </c>
      <c r="C12" s="13" t="s">
        <v>35</v>
      </c>
      <c r="D12" s="13" t="s">
        <v>36</v>
      </c>
      <c r="E12" s="13">
        <v>500</v>
      </c>
      <c r="F12" s="13">
        <v>50</v>
      </c>
      <c r="G12" s="13" t="s">
        <v>9</v>
      </c>
      <c r="H12" s="13" t="str">
        <f>IF(E12&gt;=500,$L$6,$L$7)</f>
        <v>High Price</v>
      </c>
      <c r="I12" s="13" t="str">
        <f t="shared" si="0"/>
        <v>05</v>
      </c>
      <c r="J12" s="13" t="str">
        <f t="shared" si="1"/>
        <v>UK</v>
      </c>
      <c r="K12" s="13" t="str">
        <f t="shared" si="2"/>
        <v>SEP</v>
      </c>
      <c r="M12" s="3"/>
      <c r="N12" s="35"/>
      <c r="O12" s="36"/>
      <c r="P12" s="36"/>
      <c r="Q12" s="36"/>
      <c r="R12" s="36"/>
      <c r="S12" s="37"/>
    </row>
    <row r="13" spans="2:19" ht="15.75" customHeight="1" x14ac:dyDescent="0.2">
      <c r="B13" s="14" t="s">
        <v>37</v>
      </c>
      <c r="C13" s="14" t="s">
        <v>38</v>
      </c>
      <c r="D13" s="14" t="s">
        <v>39</v>
      </c>
      <c r="E13" s="14">
        <v>130</v>
      </c>
      <c r="F13" s="14">
        <v>10</v>
      </c>
      <c r="G13" s="14" t="s">
        <v>24</v>
      </c>
      <c r="H13" s="15" t="str">
        <f>IF(E13&gt;=500,$L$6,$L$7)</f>
        <v>Standard Price</v>
      </c>
      <c r="I13" s="15" t="str">
        <f t="shared" si="0"/>
        <v>14</v>
      </c>
      <c r="J13" s="15" t="str">
        <f t="shared" si="1"/>
        <v>UK</v>
      </c>
      <c r="K13" s="15" t="str">
        <f t="shared" si="2"/>
        <v>OCT</v>
      </c>
      <c r="M13" s="4"/>
      <c r="N13" s="25">
        <v>3</v>
      </c>
      <c r="O13" s="18" t="s">
        <v>102</v>
      </c>
      <c r="P13" s="18"/>
      <c r="Q13" s="18"/>
      <c r="R13" s="19" t="s">
        <v>118</v>
      </c>
      <c r="S13" s="44">
        <f>COUNTIF(H4:H37,H4)</f>
        <v>8</v>
      </c>
    </row>
    <row r="14" spans="2:19" ht="15.75" customHeight="1" x14ac:dyDescent="0.2">
      <c r="B14" s="13" t="s">
        <v>40</v>
      </c>
      <c r="C14" s="13" t="s">
        <v>7</v>
      </c>
      <c r="D14" s="13" t="s">
        <v>41</v>
      </c>
      <c r="E14" s="13">
        <v>950</v>
      </c>
      <c r="F14" s="13">
        <v>25</v>
      </c>
      <c r="G14" s="13" t="s">
        <v>9</v>
      </c>
      <c r="H14" s="13" t="str">
        <f>IF(E14&gt;=500,$L$6,$L$7)</f>
        <v>High Price</v>
      </c>
      <c r="I14" s="13" t="str">
        <f t="shared" si="0"/>
        <v>17</v>
      </c>
      <c r="J14" s="13" t="str">
        <f t="shared" si="1"/>
        <v>IN</v>
      </c>
      <c r="K14" s="13" t="str">
        <f t="shared" si="2"/>
        <v>JUN</v>
      </c>
      <c r="M14" s="3"/>
      <c r="N14" s="26"/>
      <c r="O14" s="20" t="s">
        <v>103</v>
      </c>
      <c r="P14" s="20"/>
      <c r="Q14" s="20"/>
      <c r="R14" s="19" t="s">
        <v>117</v>
      </c>
      <c r="S14" s="44">
        <f>COUNTIF(H4:H37,H29)</f>
        <v>26</v>
      </c>
    </row>
    <row r="15" spans="2:19" ht="15.75" customHeight="1" x14ac:dyDescent="0.2">
      <c r="B15" s="14" t="s">
        <v>42</v>
      </c>
      <c r="C15" s="14" t="s">
        <v>11</v>
      </c>
      <c r="D15" s="14" t="s">
        <v>30</v>
      </c>
      <c r="E15" s="14">
        <v>90</v>
      </c>
      <c r="F15" s="14">
        <v>40</v>
      </c>
      <c r="G15" s="14" t="s">
        <v>13</v>
      </c>
      <c r="H15" s="15" t="str">
        <f>IF(E15&gt;=500,$L$6,$L$7)</f>
        <v>Standard Price</v>
      </c>
      <c r="I15" s="15" t="str">
        <f t="shared" si="0"/>
        <v>25</v>
      </c>
      <c r="J15" s="15" t="str">
        <f t="shared" si="1"/>
        <v>AU</v>
      </c>
      <c r="K15" s="15" t="str">
        <f t="shared" si="2"/>
        <v>NOV</v>
      </c>
      <c r="M15" s="3"/>
      <c r="N15" s="27"/>
      <c r="O15" s="20" t="s">
        <v>104</v>
      </c>
      <c r="P15" s="20"/>
      <c r="Q15" s="20"/>
      <c r="R15" s="28"/>
      <c r="S15" s="29"/>
    </row>
    <row r="16" spans="2:19" ht="15.75" customHeight="1" x14ac:dyDescent="0.2">
      <c r="B16" s="13" t="s">
        <v>43</v>
      </c>
      <c r="C16" s="13" t="s">
        <v>15</v>
      </c>
      <c r="D16" s="13" t="s">
        <v>44</v>
      </c>
      <c r="E16" s="13">
        <v>120</v>
      </c>
      <c r="F16" s="13">
        <v>35</v>
      </c>
      <c r="G16" s="13" t="s">
        <v>17</v>
      </c>
      <c r="H16" s="13" t="str">
        <f>IF(E16&gt;=500,$L$6,$L$7)</f>
        <v>Standard Price</v>
      </c>
      <c r="I16" s="13" t="str">
        <f t="shared" si="0"/>
        <v>08</v>
      </c>
      <c r="J16" s="13" t="str">
        <f t="shared" si="1"/>
        <v>DE</v>
      </c>
      <c r="K16" s="13" t="str">
        <f t="shared" si="2"/>
        <v>DEC</v>
      </c>
      <c r="M16" s="3"/>
      <c r="N16" s="35"/>
      <c r="O16" s="36"/>
      <c r="P16" s="36"/>
      <c r="Q16" s="36"/>
      <c r="R16" s="36"/>
      <c r="S16" s="37"/>
    </row>
    <row r="17" spans="2:19" ht="15.75" customHeight="1" x14ac:dyDescent="0.2">
      <c r="B17" s="14" t="s">
        <v>45</v>
      </c>
      <c r="C17" s="14" t="s">
        <v>46</v>
      </c>
      <c r="D17" s="14" t="s">
        <v>47</v>
      </c>
      <c r="E17" s="14">
        <v>150</v>
      </c>
      <c r="F17" s="14">
        <v>15</v>
      </c>
      <c r="G17" s="14" t="s">
        <v>9</v>
      </c>
      <c r="H17" s="15" t="str">
        <f>IF(E17&gt;=500,$L$6,$L$7)</f>
        <v>Standard Price</v>
      </c>
      <c r="I17" s="15" t="str">
        <f t="shared" si="0"/>
        <v>18</v>
      </c>
      <c r="J17" s="15" t="str">
        <f t="shared" si="1"/>
        <v>CA</v>
      </c>
      <c r="K17" s="15" t="str">
        <f t="shared" si="2"/>
        <v>FEB</v>
      </c>
      <c r="L17" s="7"/>
      <c r="M17" s="4"/>
      <c r="N17" s="25">
        <v>4</v>
      </c>
      <c r="O17" s="21" t="s">
        <v>106</v>
      </c>
      <c r="P17" s="21"/>
      <c r="Q17" s="21"/>
      <c r="R17" s="43">
        <f>SUMIF(G4:G37,G18,E4:E37)</f>
        <v>8050</v>
      </c>
      <c r="S17" s="43"/>
    </row>
    <row r="18" spans="2:19" ht="15.75" customHeight="1" x14ac:dyDescent="0.2">
      <c r="B18" s="13" t="s">
        <v>48</v>
      </c>
      <c r="C18" s="13" t="s">
        <v>26</v>
      </c>
      <c r="D18" s="13" t="s">
        <v>49</v>
      </c>
      <c r="E18" s="13">
        <v>250</v>
      </c>
      <c r="F18" s="13">
        <v>20</v>
      </c>
      <c r="G18" s="13" t="s">
        <v>9</v>
      </c>
      <c r="H18" s="13" t="str">
        <f>IF(E18&gt;=500,$L$6,$L$7)</f>
        <v>Standard Price</v>
      </c>
      <c r="I18" s="13" t="str">
        <f t="shared" si="0"/>
        <v>16</v>
      </c>
      <c r="J18" s="13" t="str">
        <f t="shared" si="1"/>
        <v>ES</v>
      </c>
      <c r="K18" s="13" t="str">
        <f t="shared" si="2"/>
        <v>APR</v>
      </c>
      <c r="M18" s="3"/>
      <c r="N18" s="26"/>
      <c r="O18" s="21" t="s">
        <v>105</v>
      </c>
      <c r="P18" s="21"/>
      <c r="Q18" s="21"/>
      <c r="R18" s="28"/>
      <c r="S18" s="29"/>
    </row>
    <row r="19" spans="2:19" ht="15.75" customHeight="1" x14ac:dyDescent="0.2">
      <c r="B19" s="14" t="s">
        <v>50</v>
      </c>
      <c r="C19" s="14" t="s">
        <v>51</v>
      </c>
      <c r="D19" s="14" t="s">
        <v>52</v>
      </c>
      <c r="E19" s="14">
        <v>50</v>
      </c>
      <c r="F19" s="14">
        <v>35</v>
      </c>
      <c r="G19" s="14" t="s">
        <v>53</v>
      </c>
      <c r="H19" s="15" t="str">
        <f>IF(E19&gt;=500,$L$6,$L$7)</f>
        <v>Standard Price</v>
      </c>
      <c r="I19" s="15" t="str">
        <f t="shared" si="0"/>
        <v>21</v>
      </c>
      <c r="J19" s="15" t="str">
        <f t="shared" si="1"/>
        <v>CA</v>
      </c>
      <c r="K19" s="15" t="str">
        <f t="shared" si="2"/>
        <v>AUG</v>
      </c>
      <c r="M19" s="3"/>
      <c r="N19" s="26"/>
      <c r="O19" s="21" t="s">
        <v>107</v>
      </c>
      <c r="P19" s="21"/>
      <c r="Q19" s="21"/>
      <c r="R19" s="43">
        <f>COUNTIF(E4:E37,L10)</f>
        <v>11</v>
      </c>
      <c r="S19" s="43"/>
    </row>
    <row r="20" spans="2:19" ht="15.75" customHeight="1" x14ac:dyDescent="0.2">
      <c r="B20" s="13" t="s">
        <v>54</v>
      </c>
      <c r="C20" s="13" t="s">
        <v>46</v>
      </c>
      <c r="D20" s="13" t="s">
        <v>55</v>
      </c>
      <c r="E20" s="13">
        <v>160</v>
      </c>
      <c r="F20" s="13">
        <v>15</v>
      </c>
      <c r="G20" s="13" t="s">
        <v>9</v>
      </c>
      <c r="H20" s="13" t="str">
        <f>IF(E20&gt;=500,$L$6,$L$7)</f>
        <v>Standard Price</v>
      </c>
      <c r="I20" s="13" t="str">
        <f t="shared" si="0"/>
        <v>20</v>
      </c>
      <c r="J20" s="13" t="str">
        <f t="shared" si="1"/>
        <v>CN</v>
      </c>
      <c r="K20" s="13" t="str">
        <f t="shared" si="2"/>
        <v>AUG</v>
      </c>
      <c r="M20" s="3"/>
      <c r="N20" s="27"/>
      <c r="O20" s="21" t="s">
        <v>108</v>
      </c>
      <c r="P20" s="21"/>
      <c r="Q20" s="21"/>
      <c r="R20" s="28"/>
      <c r="S20" s="29"/>
    </row>
    <row r="21" spans="2:19" ht="15.75" customHeight="1" x14ac:dyDescent="0.2">
      <c r="B21" s="14" t="s">
        <v>56</v>
      </c>
      <c r="C21" s="14" t="s">
        <v>7</v>
      </c>
      <c r="D21" s="14" t="s">
        <v>57</v>
      </c>
      <c r="E21" s="14">
        <v>980</v>
      </c>
      <c r="F21" s="14">
        <v>10</v>
      </c>
      <c r="G21" s="14" t="s">
        <v>9</v>
      </c>
      <c r="H21" s="15" t="str">
        <f>IF(E21&gt;=500,$L$6,$L$7)</f>
        <v>High Price</v>
      </c>
      <c r="I21" s="15" t="str">
        <f t="shared" si="0"/>
        <v>27</v>
      </c>
      <c r="J21" s="15" t="str">
        <f t="shared" si="1"/>
        <v>IT</v>
      </c>
      <c r="K21" s="15" t="str">
        <f t="shared" si="2"/>
        <v>JAN</v>
      </c>
      <c r="M21" s="3"/>
      <c r="N21" s="35"/>
      <c r="O21" s="36"/>
      <c r="P21" s="36"/>
      <c r="Q21" s="36"/>
      <c r="R21" s="36"/>
      <c r="S21" s="37"/>
    </row>
    <row r="22" spans="2:19" ht="15.75" customHeight="1" x14ac:dyDescent="0.2">
      <c r="B22" s="13" t="s">
        <v>58</v>
      </c>
      <c r="C22" s="13" t="s">
        <v>59</v>
      </c>
      <c r="D22" s="13" t="s">
        <v>60</v>
      </c>
      <c r="E22" s="13">
        <v>150</v>
      </c>
      <c r="F22" s="13">
        <v>15</v>
      </c>
      <c r="G22" s="13" t="s">
        <v>13</v>
      </c>
      <c r="H22" s="13" t="str">
        <f>IF(E22&gt;=500,$L$6,$L$7)</f>
        <v>Standard Price</v>
      </c>
      <c r="I22" s="13" t="str">
        <f t="shared" si="0"/>
        <v>01</v>
      </c>
      <c r="J22" s="13" t="str">
        <f t="shared" si="1"/>
        <v>UK</v>
      </c>
      <c r="K22" s="13" t="str">
        <f t="shared" si="2"/>
        <v>MAR</v>
      </c>
      <c r="M22" s="4"/>
      <c r="N22" s="25">
        <v>5</v>
      </c>
      <c r="O22" s="22" t="s">
        <v>110</v>
      </c>
      <c r="P22" s="22"/>
      <c r="Q22" s="22"/>
      <c r="R22" s="41" t="str">
        <f>I3:I37</f>
        <v>01</v>
      </c>
      <c r="S22" s="42"/>
    </row>
    <row r="23" spans="2:19" ht="15.75" customHeight="1" x14ac:dyDescent="0.2">
      <c r="B23" s="14" t="s">
        <v>61</v>
      </c>
      <c r="C23" s="14" t="s">
        <v>62</v>
      </c>
      <c r="D23" s="14" t="s">
        <v>63</v>
      </c>
      <c r="E23" s="14">
        <v>200</v>
      </c>
      <c r="F23" s="14">
        <v>10</v>
      </c>
      <c r="G23" s="14" t="s">
        <v>24</v>
      </c>
      <c r="H23" s="15" t="str">
        <f>IF(E23&gt;=500,$L$6,$L$7)</f>
        <v>Standard Price</v>
      </c>
      <c r="I23" s="15" t="str">
        <f t="shared" si="0"/>
        <v>14</v>
      </c>
      <c r="J23" s="15" t="str">
        <f t="shared" si="1"/>
        <v>US</v>
      </c>
      <c r="K23" s="15" t="str">
        <f t="shared" si="2"/>
        <v>AUG</v>
      </c>
      <c r="M23" s="3"/>
      <c r="N23" s="26"/>
      <c r="O23" s="23" t="s">
        <v>109</v>
      </c>
      <c r="P23" s="23"/>
      <c r="Q23" s="23"/>
      <c r="R23" s="30"/>
      <c r="S23" s="31"/>
    </row>
    <row r="24" spans="2:19" ht="15.75" customHeight="1" x14ac:dyDescent="0.2">
      <c r="B24" s="13" t="s">
        <v>64</v>
      </c>
      <c r="C24" s="13" t="s">
        <v>65</v>
      </c>
      <c r="D24" s="13" t="s">
        <v>66</v>
      </c>
      <c r="E24" s="13">
        <v>700</v>
      </c>
      <c r="F24" s="13">
        <v>50</v>
      </c>
      <c r="G24" s="13" t="s">
        <v>9</v>
      </c>
      <c r="H24" s="13" t="str">
        <f>IF(E24&gt;=500,$L$6,$L$7)</f>
        <v>High Price</v>
      </c>
      <c r="I24" s="13" t="str">
        <f t="shared" si="0"/>
        <v>14</v>
      </c>
      <c r="J24" s="13" t="str">
        <f t="shared" si="1"/>
        <v>RU</v>
      </c>
      <c r="K24" s="13" t="str">
        <f t="shared" si="2"/>
        <v>MAY</v>
      </c>
      <c r="L24" s="5"/>
      <c r="M24" s="5"/>
      <c r="N24" s="26"/>
      <c r="O24" s="22" t="s">
        <v>111</v>
      </c>
      <c r="P24" s="22"/>
      <c r="Q24" s="22"/>
      <c r="R24" s="41" t="str">
        <f>J3:J37</f>
        <v>RU</v>
      </c>
      <c r="S24" s="42"/>
    </row>
    <row r="25" spans="2:19" ht="15.75" customHeight="1" x14ac:dyDescent="0.2">
      <c r="B25" s="14" t="s">
        <v>67</v>
      </c>
      <c r="C25" s="14" t="s">
        <v>68</v>
      </c>
      <c r="D25" s="14" t="s">
        <v>69</v>
      </c>
      <c r="E25" s="14">
        <v>80</v>
      </c>
      <c r="F25" s="14">
        <v>20</v>
      </c>
      <c r="G25" s="14" t="s">
        <v>17</v>
      </c>
      <c r="H25" s="15" t="str">
        <f>IF(E25&gt;=500,$L$6,$L$7)</f>
        <v>Standard Price</v>
      </c>
      <c r="I25" s="15" t="str">
        <f t="shared" si="0"/>
        <v>09</v>
      </c>
      <c r="J25" s="15" t="str">
        <f t="shared" si="1"/>
        <v>CA</v>
      </c>
      <c r="K25" s="15" t="str">
        <f t="shared" si="2"/>
        <v>JAN</v>
      </c>
      <c r="L25" s="5"/>
      <c r="M25" s="5"/>
      <c r="N25" s="26"/>
      <c r="O25" s="24" t="s">
        <v>113</v>
      </c>
      <c r="P25" s="24"/>
      <c r="Q25" s="24"/>
      <c r="R25" s="30"/>
      <c r="S25" s="31"/>
    </row>
    <row r="26" spans="2:19" ht="15.75" customHeight="1" x14ac:dyDescent="0.2">
      <c r="B26" s="13" t="s">
        <v>70</v>
      </c>
      <c r="C26" s="13" t="s">
        <v>71</v>
      </c>
      <c r="D26" s="13" t="s">
        <v>72</v>
      </c>
      <c r="E26" s="13">
        <v>150</v>
      </c>
      <c r="F26" s="13">
        <v>30</v>
      </c>
      <c r="G26" s="13" t="s">
        <v>9</v>
      </c>
      <c r="H26" s="13" t="str">
        <f>IF(E26&gt;=500,$L$6,$L$7)</f>
        <v>Standard Price</v>
      </c>
      <c r="I26" s="13" t="str">
        <f t="shared" si="0"/>
        <v>19</v>
      </c>
      <c r="J26" s="13" t="str">
        <f t="shared" si="1"/>
        <v>BR</v>
      </c>
      <c r="K26" s="13" t="str">
        <f t="shared" si="2"/>
        <v>JUL</v>
      </c>
      <c r="L26" s="5"/>
      <c r="M26" s="5"/>
      <c r="N26" s="26"/>
      <c r="O26" s="18" t="s">
        <v>112</v>
      </c>
      <c r="P26" s="18"/>
      <c r="Q26" s="18"/>
      <c r="R26" s="30"/>
      <c r="S26" s="31"/>
    </row>
    <row r="27" spans="2:19" ht="15.75" customHeight="1" x14ac:dyDescent="0.2">
      <c r="B27" s="14" t="s">
        <v>50</v>
      </c>
      <c r="C27" s="14" t="s">
        <v>51</v>
      </c>
      <c r="D27" s="14" t="s">
        <v>52</v>
      </c>
      <c r="E27" s="14">
        <v>50</v>
      </c>
      <c r="F27" s="14">
        <v>35</v>
      </c>
      <c r="G27" s="14" t="s">
        <v>53</v>
      </c>
      <c r="H27" s="15" t="str">
        <f>IF(E27&gt;=500,$L$6,$L$7)</f>
        <v>Standard Price</v>
      </c>
      <c r="I27" s="15" t="str">
        <f t="shared" si="0"/>
        <v>21</v>
      </c>
      <c r="J27" s="15" t="str">
        <f t="shared" si="1"/>
        <v>CA</v>
      </c>
      <c r="K27" s="15" t="str">
        <f t="shared" si="2"/>
        <v>AUG</v>
      </c>
      <c r="L27" s="5"/>
      <c r="M27" s="5"/>
      <c r="N27" s="26"/>
      <c r="O27" s="24" t="s">
        <v>115</v>
      </c>
      <c r="P27" s="24"/>
      <c r="Q27" s="24"/>
      <c r="R27" s="41" t="str">
        <f>K3:K37</f>
        <v>AUG</v>
      </c>
      <c r="S27" s="42"/>
    </row>
    <row r="28" spans="2:19" ht="15.75" customHeight="1" x14ac:dyDescent="0.2">
      <c r="B28" s="13" t="s">
        <v>73</v>
      </c>
      <c r="C28" s="13" t="s">
        <v>19</v>
      </c>
      <c r="D28" s="13" t="s">
        <v>74</v>
      </c>
      <c r="E28" s="13">
        <v>800</v>
      </c>
      <c r="F28" s="13">
        <v>45</v>
      </c>
      <c r="G28" s="13" t="s">
        <v>9</v>
      </c>
      <c r="H28" s="13" t="str">
        <f>IF(E28&gt;=500,$L$6,$L$7)</f>
        <v>High Price</v>
      </c>
      <c r="I28" s="13" t="str">
        <f t="shared" si="0"/>
        <v>29</v>
      </c>
      <c r="J28" s="13" t="str">
        <f t="shared" si="1"/>
        <v>CA</v>
      </c>
      <c r="K28" s="13" t="str">
        <f t="shared" si="2"/>
        <v>SEP</v>
      </c>
      <c r="L28" s="5"/>
      <c r="M28" s="5"/>
      <c r="N28" s="27"/>
      <c r="O28" s="18" t="s">
        <v>114</v>
      </c>
      <c r="P28" s="18"/>
      <c r="Q28" s="18"/>
      <c r="R28" s="30"/>
      <c r="S28" s="31"/>
    </row>
    <row r="29" spans="2:19" ht="15.75" customHeight="1" x14ac:dyDescent="0.2">
      <c r="B29" s="14" t="s">
        <v>75</v>
      </c>
      <c r="C29" s="14" t="s">
        <v>59</v>
      </c>
      <c r="D29" s="14" t="s">
        <v>76</v>
      </c>
      <c r="E29" s="14">
        <v>130</v>
      </c>
      <c r="F29" s="14">
        <v>25</v>
      </c>
      <c r="G29" s="14" t="s">
        <v>13</v>
      </c>
      <c r="H29" s="15" t="str">
        <f>IF(E29&gt;=500,$L$6,$L$7)</f>
        <v>Standard Price</v>
      </c>
      <c r="I29" s="15" t="str">
        <f t="shared" si="0"/>
        <v>03</v>
      </c>
      <c r="J29" s="15" t="str">
        <f t="shared" si="1"/>
        <v>CA</v>
      </c>
      <c r="K29" s="15" t="str">
        <f t="shared" si="2"/>
        <v>JUN</v>
      </c>
      <c r="O29" s="2"/>
      <c r="P29" s="2"/>
      <c r="Q29" s="2"/>
    </row>
    <row r="30" spans="2:19" ht="15.75" customHeight="1" x14ac:dyDescent="0.2">
      <c r="B30" s="13" t="s">
        <v>77</v>
      </c>
      <c r="C30" s="13" t="s">
        <v>32</v>
      </c>
      <c r="D30" s="13" t="s">
        <v>78</v>
      </c>
      <c r="E30" s="13">
        <v>400</v>
      </c>
      <c r="F30" s="13">
        <v>40</v>
      </c>
      <c r="G30" s="13" t="s">
        <v>17</v>
      </c>
      <c r="H30" s="13" t="str">
        <f>IF(E30&gt;=500,$L$6,$L$7)</f>
        <v>Standard Price</v>
      </c>
      <c r="I30" s="13" t="str">
        <f t="shared" si="0"/>
        <v>11</v>
      </c>
      <c r="J30" s="13" t="str">
        <f t="shared" si="1"/>
        <v>CA</v>
      </c>
      <c r="K30" s="13" t="str">
        <f t="shared" si="2"/>
        <v>JUL</v>
      </c>
      <c r="O30" s="2"/>
      <c r="P30" s="2"/>
      <c r="Q30" s="2"/>
    </row>
    <row r="31" spans="2:19" ht="15.75" customHeight="1" x14ac:dyDescent="0.2">
      <c r="B31" s="14" t="s">
        <v>48</v>
      </c>
      <c r="C31" s="14" t="s">
        <v>26</v>
      </c>
      <c r="D31" s="14" t="s">
        <v>49</v>
      </c>
      <c r="E31" s="14">
        <v>230</v>
      </c>
      <c r="F31" s="14">
        <v>20</v>
      </c>
      <c r="G31" s="14" t="s">
        <v>9</v>
      </c>
      <c r="H31" s="15" t="str">
        <f>IF(E31&gt;=500,$L$6,$L$7)</f>
        <v>Standard Price</v>
      </c>
      <c r="I31" s="15" t="str">
        <f t="shared" si="0"/>
        <v>16</v>
      </c>
      <c r="J31" s="15" t="str">
        <f t="shared" si="1"/>
        <v>ES</v>
      </c>
      <c r="K31" s="15" t="str">
        <f t="shared" si="2"/>
        <v>APR</v>
      </c>
    </row>
    <row r="32" spans="2:19" ht="15.75" customHeight="1" x14ac:dyDescent="0.2">
      <c r="B32" s="13" t="s">
        <v>79</v>
      </c>
      <c r="C32" s="13" t="s">
        <v>80</v>
      </c>
      <c r="D32" s="13" t="s">
        <v>81</v>
      </c>
      <c r="E32" s="13">
        <v>60</v>
      </c>
      <c r="F32" s="13">
        <v>30</v>
      </c>
      <c r="G32" s="13" t="s">
        <v>13</v>
      </c>
      <c r="H32" s="13" t="str">
        <f>IF(E32&gt;=500,$L$6,$L$7)</f>
        <v>Standard Price</v>
      </c>
      <c r="I32" s="13" t="str">
        <f t="shared" si="0"/>
        <v>07</v>
      </c>
      <c r="J32" s="13" t="str">
        <f t="shared" si="1"/>
        <v>CA</v>
      </c>
      <c r="K32" s="13" t="str">
        <f t="shared" si="2"/>
        <v>MAR</v>
      </c>
    </row>
    <row r="33" spans="2:11" ht="15.75" customHeight="1" x14ac:dyDescent="0.2">
      <c r="B33" s="14" t="s">
        <v>82</v>
      </c>
      <c r="C33" s="14" t="s">
        <v>83</v>
      </c>
      <c r="D33" s="14" t="s">
        <v>84</v>
      </c>
      <c r="E33" s="14">
        <v>40</v>
      </c>
      <c r="F33" s="14">
        <v>10</v>
      </c>
      <c r="G33" s="14" t="s">
        <v>17</v>
      </c>
      <c r="H33" s="15" t="str">
        <f>IF(E33&gt;=500,$L$6,$L$7)</f>
        <v>Standard Price</v>
      </c>
      <c r="I33" s="15" t="str">
        <f t="shared" si="0"/>
        <v>13</v>
      </c>
      <c r="J33" s="15" t="str">
        <f t="shared" si="1"/>
        <v>CA</v>
      </c>
      <c r="K33" s="15" t="str">
        <f t="shared" si="2"/>
        <v>APR</v>
      </c>
    </row>
    <row r="34" spans="2:11" ht="15.75" customHeight="1" x14ac:dyDescent="0.2">
      <c r="B34" s="13" t="s">
        <v>85</v>
      </c>
      <c r="C34" s="13" t="s">
        <v>71</v>
      </c>
      <c r="D34" s="13" t="s">
        <v>86</v>
      </c>
      <c r="E34" s="13">
        <v>130</v>
      </c>
      <c r="F34" s="13">
        <v>5</v>
      </c>
      <c r="G34" s="13" t="s">
        <v>9</v>
      </c>
      <c r="H34" s="13" t="str">
        <f>IF(E34&gt;=500,$L$6,$L$7)</f>
        <v>Standard Price</v>
      </c>
      <c r="I34" s="13" t="str">
        <f t="shared" si="0"/>
        <v>24</v>
      </c>
      <c r="J34" s="13" t="str">
        <f t="shared" si="1"/>
        <v>CA</v>
      </c>
      <c r="K34" s="13" t="str">
        <f t="shared" si="2"/>
        <v>MAY</v>
      </c>
    </row>
    <row r="35" spans="2:11" ht="15.75" customHeight="1" x14ac:dyDescent="0.2">
      <c r="B35" s="14" t="s">
        <v>87</v>
      </c>
      <c r="C35" s="14" t="s">
        <v>88</v>
      </c>
      <c r="D35" s="14" t="s">
        <v>89</v>
      </c>
      <c r="E35" s="14">
        <v>50</v>
      </c>
      <c r="F35" s="14">
        <v>50</v>
      </c>
      <c r="G35" s="14" t="s">
        <v>13</v>
      </c>
      <c r="H35" s="15" t="str">
        <f>IF(E35&gt;=500,$L$6,$L$7)</f>
        <v>Standard Price</v>
      </c>
      <c r="I35" s="15" t="str">
        <f t="shared" si="0"/>
        <v>02</v>
      </c>
      <c r="J35" s="15" t="str">
        <f t="shared" si="1"/>
        <v>CA</v>
      </c>
      <c r="K35" s="15" t="str">
        <f t="shared" si="2"/>
        <v>DEC</v>
      </c>
    </row>
    <row r="36" spans="2:11" ht="15.75" customHeight="1" x14ac:dyDescent="0.2">
      <c r="B36" s="13" t="s">
        <v>40</v>
      </c>
      <c r="C36" s="13" t="s">
        <v>7</v>
      </c>
      <c r="D36" s="13" t="s">
        <v>41</v>
      </c>
      <c r="E36" s="13">
        <v>950</v>
      </c>
      <c r="F36" s="13">
        <v>25</v>
      </c>
      <c r="G36" s="13" t="s">
        <v>9</v>
      </c>
      <c r="H36" s="13" t="str">
        <f>IF(E36&gt;=500,$L$6,$L$7)</f>
        <v>High Price</v>
      </c>
      <c r="I36" s="13" t="str">
        <f t="shared" si="0"/>
        <v>17</v>
      </c>
      <c r="J36" s="13" t="str">
        <f t="shared" si="1"/>
        <v>IN</v>
      </c>
      <c r="K36" s="13" t="str">
        <f t="shared" si="2"/>
        <v>JUN</v>
      </c>
    </row>
    <row r="37" spans="2:11" ht="15.75" customHeight="1" x14ac:dyDescent="0.2">
      <c r="B37" s="14" t="s">
        <v>90</v>
      </c>
      <c r="C37" s="14" t="s">
        <v>91</v>
      </c>
      <c r="D37" s="14" t="s">
        <v>92</v>
      </c>
      <c r="E37" s="14">
        <v>100</v>
      </c>
      <c r="F37" s="14">
        <v>20</v>
      </c>
      <c r="G37" s="14" t="s">
        <v>53</v>
      </c>
      <c r="H37" s="15" t="str">
        <f>IF(E37&gt;=500,$L$6,$L$7)</f>
        <v>Standard Price</v>
      </c>
      <c r="I37" s="15" t="str">
        <f t="shared" si="0"/>
        <v>09</v>
      </c>
      <c r="J37" s="15" t="str">
        <f t="shared" si="1"/>
        <v>FR</v>
      </c>
      <c r="K37" s="15" t="str">
        <f t="shared" si="2"/>
        <v>JUL</v>
      </c>
    </row>
    <row r="38" spans="2:11" ht="15.75" customHeight="1" x14ac:dyDescent="0.2">
      <c r="H38" s="7"/>
      <c r="I38" s="7"/>
      <c r="J38" s="7"/>
      <c r="K38" s="7"/>
    </row>
    <row r="39" spans="2:11" ht="15.75" customHeight="1" x14ac:dyDescent="0.2"/>
    <row r="40" spans="2:11" ht="15.75" customHeight="1" x14ac:dyDescent="0.2"/>
    <row r="41" spans="2:11" ht="15.75" customHeight="1" x14ac:dyDescent="0.2"/>
    <row r="42" spans="2:11" ht="15.75" customHeight="1" x14ac:dyDescent="0.2"/>
    <row r="43" spans="2:11" ht="15.75" customHeight="1" x14ac:dyDescent="0.2"/>
    <row r="44" spans="2:11" ht="15.75" customHeight="1" x14ac:dyDescent="0.2"/>
    <row r="45" spans="2:11" ht="15.75" customHeight="1" x14ac:dyDescent="0.2"/>
    <row r="46" spans="2:11" ht="15.75" customHeight="1" x14ac:dyDescent="0.2"/>
    <row r="47" spans="2:11" ht="15.75" customHeight="1" x14ac:dyDescent="0.2"/>
    <row r="48" spans="2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49">
    <mergeCell ref="N16:S16"/>
    <mergeCell ref="N12:S12"/>
    <mergeCell ref="N9:S9"/>
    <mergeCell ref="R24:S24"/>
    <mergeCell ref="R25:S25"/>
    <mergeCell ref="R26:S26"/>
    <mergeCell ref="R27:S27"/>
    <mergeCell ref="R28:S28"/>
    <mergeCell ref="R15:S15"/>
    <mergeCell ref="R18:S18"/>
    <mergeCell ref="R20:S20"/>
    <mergeCell ref="N21:S21"/>
    <mergeCell ref="N22:N28"/>
    <mergeCell ref="R22:S22"/>
    <mergeCell ref="R23:S23"/>
    <mergeCell ref="B1:K1"/>
    <mergeCell ref="I2:K2"/>
    <mergeCell ref="N3:S3"/>
    <mergeCell ref="N6:N8"/>
    <mergeCell ref="N10:N11"/>
    <mergeCell ref="N13:N15"/>
    <mergeCell ref="N5:S5"/>
    <mergeCell ref="O29:Q29"/>
    <mergeCell ref="O30:Q30"/>
    <mergeCell ref="R4:S4"/>
    <mergeCell ref="R6:S6"/>
    <mergeCell ref="R7:S7"/>
    <mergeCell ref="R8:S8"/>
    <mergeCell ref="R10:S10"/>
    <mergeCell ref="R11:S11"/>
    <mergeCell ref="O23:Q23"/>
    <mergeCell ref="O25:Q25"/>
    <mergeCell ref="O27:Q27"/>
    <mergeCell ref="O26:Q26"/>
    <mergeCell ref="O28:Q28"/>
    <mergeCell ref="O17:Q17"/>
    <mergeCell ref="O18:Q18"/>
    <mergeCell ref="O19:Q19"/>
    <mergeCell ref="O20:Q20"/>
    <mergeCell ref="R19:S19"/>
    <mergeCell ref="R17:S17"/>
    <mergeCell ref="N17:N20"/>
    <mergeCell ref="O10:Q10"/>
    <mergeCell ref="O11:Q11"/>
    <mergeCell ref="O13:Q13"/>
    <mergeCell ref="O14:Q14"/>
    <mergeCell ref="O15:Q15"/>
    <mergeCell ref="O4:Q4"/>
    <mergeCell ref="O6:Q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2026-10-23T16:26:18Z</dcterms:modified>
</cp:coreProperties>
</file>